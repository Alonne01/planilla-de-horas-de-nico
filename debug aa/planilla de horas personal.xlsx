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c8423a507a15af/Documents/WENLEN/programas/planilla de horas/debug aa/"/>
    </mc:Choice>
  </mc:AlternateContent>
  <xr:revisionPtr revIDLastSave="0" documentId="8_{ED8E75F4-0EE9-41E4-91CE-9F4C920638D3}" xr6:coauthVersionLast="47" xr6:coauthVersionMax="47" xr10:uidLastSave="{00000000-0000-0000-0000-000000000000}"/>
  <bookViews>
    <workbookView xWindow="1884" yWindow="1884" windowWidth="17280" windowHeight="8880" xr2:uid="{B4FF5C2E-6705-4796-9149-3A46E8676EEF}"/>
  </bookViews>
  <sheets>
    <sheet name="Sheet1" sheetId="1" r:id="rId1"/>
  </sheets>
  <externalReferences>
    <externalReference r:id="rId2"/>
    <externalReference r:id="rId3"/>
  </externalReferences>
  <definedNames>
    <definedName name="Lugar_de_Trabajo" localSheetId="0">'[2]1'!$S$2:$S$3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  <c r="A41" i="1"/>
  <c r="E40" i="1"/>
  <c r="A40" i="1"/>
  <c r="E39" i="1"/>
  <c r="A39" i="1"/>
  <c r="E38" i="1"/>
  <c r="A38" i="1"/>
  <c r="E37" i="1"/>
  <c r="A37" i="1"/>
  <c r="E36" i="1"/>
  <c r="A36" i="1"/>
  <c r="E35" i="1"/>
  <c r="A35" i="1"/>
  <c r="E34" i="1"/>
  <c r="A34" i="1"/>
  <c r="E33" i="1"/>
  <c r="A33" i="1"/>
  <c r="E32" i="1"/>
  <c r="A32" i="1"/>
  <c r="E31" i="1"/>
  <c r="A31" i="1"/>
  <c r="E30" i="1"/>
  <c r="A30" i="1"/>
  <c r="E29" i="1"/>
  <c r="A29" i="1"/>
  <c r="E28" i="1"/>
  <c r="A28" i="1"/>
  <c r="E27" i="1"/>
  <c r="A27" i="1"/>
  <c r="E26" i="1"/>
  <c r="A26" i="1"/>
  <c r="E25" i="1"/>
  <c r="A25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E17" i="1"/>
  <c r="A17" i="1"/>
  <c r="E16" i="1"/>
  <c r="A16" i="1"/>
  <c r="E15" i="1"/>
  <c r="A15" i="1"/>
  <c r="E14" i="1"/>
  <c r="A14" i="1"/>
  <c r="E13" i="1"/>
  <c r="B13" i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A13" i="1"/>
  <c r="E12" i="1"/>
  <c r="A12" i="1"/>
</calcChain>
</file>

<file path=xl/sharedStrings.xml><?xml version="1.0" encoding="utf-8"?>
<sst xmlns="http://schemas.openxmlformats.org/spreadsheetml/2006/main" count="22" uniqueCount="22">
  <si>
    <t>Mes:</t>
  </si>
  <si>
    <t>NOVIEMBRE - DICIEMBRE</t>
  </si>
  <si>
    <t>Diagrama:     ( 7  x  7  )</t>
  </si>
  <si>
    <t>Dia</t>
  </si>
  <si>
    <t>Entro</t>
  </si>
  <si>
    <t>Salio</t>
  </si>
  <si>
    <t>Hs Trabajadas</t>
  </si>
  <si>
    <t>Hs de Viaje</t>
  </si>
  <si>
    <t>Lugar de Trabajo</t>
  </si>
  <si>
    <t>Pernocte</t>
  </si>
  <si>
    <t>Maneja</t>
  </si>
  <si>
    <t>Observaciones</t>
  </si>
  <si>
    <t xml:space="preserve">SI    </t>
  </si>
  <si>
    <t>NO</t>
  </si>
  <si>
    <t xml:space="preserve">Hotel </t>
  </si>
  <si>
    <t>Trailer</t>
  </si>
  <si>
    <t>Firma del Trabajador</t>
  </si>
  <si>
    <t xml:space="preserve">     Firma del Supervisor</t>
  </si>
  <si>
    <t>Base</t>
  </si>
  <si>
    <t>Campo</t>
  </si>
  <si>
    <t xml:space="preserve">Empleado:        </t>
  </si>
  <si>
    <t>PALMA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</si>
</sst>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A]mmm\-yy"/>
    <numFmt numFmtId="165" formatCode="[$-40A]dd\-mmm"/>
  </numFmts>
  <fonts count="9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0"/>
      <color theme="0"/>
      <name val="Calibri"/>
      <family val="2"/>
    </font>
    <font>
      <b/>
      <sz val="12"/>
      <name val="Arial"/>
      <family val="2"/>
    </font>
    <font>
      <u/>
      <sz val="1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1" xfId="0" applyFont="1" applyBorder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0" borderId="0" xfId="0" applyFont="1" applyAlignment="1" applyProtection="1">
      <alignment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 readingOrder="1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2" fillId="0" borderId="5" xfId="0" applyFont="1" applyBorder="1" applyProtection="1">
      <protection locked="0"/>
    </xf>
    <xf numFmtId="0" fontId="2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2" fillId="0" borderId="7" xfId="0" applyFont="1" applyBorder="1" applyProtection="1">
      <protection locked="0"/>
    </xf>
    <xf numFmtId="0" fontId="2" fillId="0" borderId="8" xfId="0" applyFont="1" applyBorder="1" applyProtection="1">
      <protection locked="0"/>
    </xf>
    <xf numFmtId="0" fontId="4" fillId="2" borderId="7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 shrinkToFit="1"/>
      <protection locked="0"/>
    </xf>
    <xf numFmtId="0" fontId="3" fillId="2" borderId="2" xfId="0" applyFont="1" applyFill="1" applyBorder="1" applyAlignment="1" applyProtection="1">
      <alignment horizontal="center" vertical="top"/>
      <protection locked="0"/>
    </xf>
    <xf numFmtId="0" fontId="3" fillId="0" borderId="7" xfId="0" applyFont="1" applyBorder="1" applyAlignment="1" applyProtection="1">
      <alignment horizontal="center"/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vertical="center"/>
      <protection locked="0"/>
    </xf>
    <xf numFmtId="165" fontId="3" fillId="3" borderId="11" xfId="0" applyNumberFormat="1" applyFont="1" applyFill="1" applyBorder="1" applyAlignment="1" applyProtection="1">
      <alignment horizontal="center" vertical="center"/>
      <protection locked="0"/>
    </xf>
    <xf numFmtId="2" fontId="3" fillId="0" borderId="12" xfId="0" applyNumberFormat="1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center" vertical="center"/>
      <protection locked="0"/>
    </xf>
    <xf numFmtId="49" fontId="3" fillId="0" borderId="14" xfId="0" applyNumberFormat="1" applyFont="1" applyBorder="1" applyAlignment="1" applyProtection="1">
      <alignment horizontal="center" vertical="center"/>
      <protection locked="0"/>
    </xf>
    <xf numFmtId="165" fontId="3" fillId="4" borderId="15" xfId="0" applyNumberFormat="1" applyFont="1" applyFill="1" applyBorder="1" applyAlignment="1" applyProtection="1">
      <alignment horizontal="center" vertical="center"/>
      <protection locked="0"/>
    </xf>
    <xf numFmtId="2" fontId="3" fillId="0" borderId="16" xfId="0" applyNumberFormat="1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49" fontId="3" fillId="0" borderId="19" xfId="0" applyNumberFormat="1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 vertical="center"/>
      <protection locked="0"/>
    </xf>
    <xf numFmtId="165" fontId="3" fillId="4" borderId="0" xfId="0" applyNumberFormat="1" applyFont="1" applyFill="1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center" vertical="center"/>
      <protection locked="0"/>
    </xf>
    <xf numFmtId="46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8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3" fillId="0" borderId="21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199862</xdr:colOff>
      <xdr:row>0</xdr:row>
      <xdr:rowOff>50601</xdr:rowOff>
    </xdr:from>
    <xdr:to>
      <xdr:col>5</xdr:col>
      <xdr:colOff>39084</xdr:colOff>
      <xdr:row>3</xdr:row>
      <xdr:rowOff>84817</xdr:rowOff>
    </xdr:to>
    <xdr:pic>
      <xdr:nvPicPr>
        <xdr:cNvPr id="2" name="image1.png" descr=" ">
          <a:extLst>
            <a:ext uri="{FF2B5EF4-FFF2-40B4-BE49-F238E27FC236}">
              <a16:creationId xmlns:a16="http://schemas.microsoft.com/office/drawing/2014/main" id="{019E35B2-3A6D-424F-B097-81167AA655C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99862" y="50601"/>
          <a:ext cx="2125222" cy="590476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Users/dmondaca/Desktop/Planilla%20de%20horas%20Mayo/WELL%20TESTING%2005-2025%2001.xlsx" TargetMode="External"/><Relationship Id="rId2" Type="http://schemas.openxmlformats.org/officeDocument/2006/relationships/externalLinkPath" Target="file:///C:\Users\dmondaca\Desktop\Planilla%20de%20horas%20Mayo\WELL%20TESTING%2005-2025%2001.xlsx" TargetMode="External"/><Relationship Id="rId1" Type="http://schemas.openxmlformats.org/officeDocument/2006/relationships/externalLinkPath" Target="/Users/dmondaca/Desktop/Planilla%20de%20horas%20Mayo/WELL%20TESTING%2005-2025%2001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lanillas%20de%20horas/PLANILLA%20NUEVA%20FORMULADA%5e.xlsx" TargetMode="External"/><Relationship Id="rId2" Type="http://schemas.openxmlformats.org/officeDocument/2006/relationships/externalLinkPath" Target="https://d.docs.live.net/95c8423a507a15af/Documents/WENLEN/Planillas%20de%20horas/PLANILLA%20NUEVA%20FORMULADA%5e.xlsx" TargetMode="External"/><Relationship Id="rId1" Type="http://schemas.openxmlformats.org/officeDocument/2006/relationships/externalLinkPath" Target="/95c8423a507a15af/Documents/WENLEN/Planillas%20de%20horas/PLANILLA%20NUEVA%20FORMULADA%5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MEIRA LUIS"/>
      <sheetName val="ARRIAGADA FERNANDO ARIEL"/>
      <sheetName val="ARISMENDI ALBERTO"/>
      <sheetName val="AVALOS CRISTIAN"/>
      <sheetName val="BADILLA PATRICIO"/>
      <sheetName val="BAEZ CRISTIAN"/>
      <sheetName val="BARRERA MARCELO"/>
      <sheetName val="BENITEZ ARNALDO"/>
      <sheetName val="BERRA FERNANDO"/>
      <sheetName val="BUCOLO PABLO"/>
      <sheetName val="CATTANEO AGUSTIN"/>
      <sheetName val="CEPEDA EMANUEL"/>
      <sheetName val="CONTRERAS MAURO"/>
      <sheetName val="CORACHAN JUAN"/>
      <sheetName val="CUITIÑO LEONARDO"/>
      <sheetName val="CURIHUINCA MIGUEL"/>
      <sheetName val="ELIAS RODRIGO"/>
      <sheetName val="FERNANDEZ EMANUEL"/>
      <sheetName val="FIGUEROA JORGE"/>
      <sheetName val="FUENTEALBA LAUTARO"/>
      <sheetName val="FUENTES MAXIMILIANO"/>
      <sheetName val="GARRIDO RUBEN"/>
      <sheetName val="GIUSTI GIULIANO"/>
      <sheetName val="GUINDER MARTIN"/>
      <sheetName val="HAZELDINE JAVIER"/>
      <sheetName val="IBAÑEZ VERONICA"/>
      <sheetName val="JOFRE KRAUSE JUAN "/>
      <sheetName val="KASTLI EMANUEL"/>
      <sheetName val="LIEMPE LUCAS"/>
      <sheetName val="LIZAMA DIEGO"/>
      <sheetName val="LOPEZ VILLENA RODRIGO"/>
      <sheetName val="MANSUR NASHIF"/>
      <sheetName val="MONDACA DIEGO"/>
      <sheetName val="MORALES DIEGO"/>
      <sheetName val="MORALES EZEQUIAS"/>
      <sheetName val="MORENO JUAN MANUEL"/>
      <sheetName val="MORENO VICENTE VICTOR"/>
      <sheetName val="MUÑOZ ALAN"/>
      <sheetName val="NAVARRO MARVIN"/>
      <sheetName val="PALMA DANIEL"/>
      <sheetName val="PALOMAR VALENTIN"/>
      <sheetName val="PAEZ FACUNDO"/>
      <sheetName val="PROVOSTE MATIAS"/>
      <sheetName val="REYES RODRIGO"/>
      <sheetName val="RIQUELME VITO"/>
      <sheetName val="SALATINO LUCAS"/>
      <sheetName val="SAN MARTIN FELIX"/>
      <sheetName val="TEJERINA HECTOR"/>
      <sheetName val="VAZQUEZ NICOLAS"/>
      <sheetName val="ZARAGOZA NICOLAS"/>
      <sheetName val="ZWENGER GERMAN"/>
      <sheetName val="1"/>
      <sheetName val="05-2025"/>
    </sheetNames>
    <sheetDataSet>
      <sheetData sheetId="0" refreshError="1">
        <row r="22">
          <cell r="A22" t="str">
            <v>x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"/>
    </sheetNames>
    <sheetDataSet>
      <sheetData sheetId="0">
        <row r="2">
          <cell r="S2" t="str">
            <v>Base</v>
          </cell>
        </row>
        <row r="3">
          <cell r="S3" t="str">
            <v>Campo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8905C-6FA6-4FE9-878C-61AC40D77059}">
  <dimension ref="A2:Q54"/>
  <sheetViews>
    <sheetView tabSelected="1" workbookViewId="0">
      <selection activeCell="F5" sqref="F5"/>
    </sheetView>
  </sheetViews>
  <sheetFormatPr defaultColWidth="12" defaultRowHeight="15" customHeight="1" x14ac:dyDescent="0.3"/>
  <cols>
    <col min="1" max="1" width="3.109375" style="1" customWidth="1"/>
    <col min="2" max="2" width="9.33203125" style="1" customWidth="1"/>
    <col min="3" max="4" width="8.6640625" style="1" customWidth="1"/>
    <col min="5" max="5" width="12.88671875" style="1" customWidth="1"/>
    <col min="6" max="6" width="10.5546875" style="1" customWidth="1"/>
    <col min="7" max="7" width="17" style="1" customWidth="1"/>
    <col min="8" max="8" width="5.88671875" style="1" customWidth="1"/>
    <col min="9" max="9" width="6.6640625" style="1" customWidth="1"/>
    <col min="10" max="10" width="4.88671875" style="1" customWidth="1"/>
    <col min="11" max="11" width="6.6640625" style="1" customWidth="1"/>
    <col min="12" max="12" width="29.88671875" style="1" customWidth="1"/>
    <col min="13" max="16384" width="12" style="1"/>
  </cols>
  <sheetData>
    <row r="2" spans="1:17" ht="15" customHeight="1" x14ac:dyDescent="0.3">
      <c r="B2" s="48"/>
      <c r="Q2" s="27" t="s">
        <v>18</v>
      </c>
    </row>
    <row r="3" spans="1:17" ht="15" customHeight="1" x14ac:dyDescent="0.25">
      <c r="B3" s="49"/>
      <c r="Q3" s="27" t="s">
        <v>19</v>
      </c>
    </row>
    <row r="4" spans="1:17" ht="15" customHeight="1" x14ac:dyDescent="0.25">
      <c r="B4" s="50"/>
    </row>
    <row r="5" spans="1:17" ht="15" customHeight="1" x14ac:dyDescent="0.25">
      <c r="B5" s="51" t="s">
        <v>20</v>
      </c>
      <c r="C5" s="52" t="s">
        <v>21</v>
      </c>
      <c r="D5" s="52"/>
      <c r="G5" s="6"/>
      <c r="H5" s="6"/>
      <c r="I5" s="6"/>
      <c r="J5" s="6"/>
      <c r="K5" s="6"/>
    </row>
    <row r="7" spans="1:17" ht="15" customHeight="1" x14ac:dyDescent="0.25">
      <c r="B7" s="2" t="s">
        <v>0</v>
      </c>
      <c r="C7" s="3" t="s">
        <v>1</v>
      </c>
      <c r="D7" s="5"/>
      <c r="E7" s="5"/>
      <c r="F7" s="5"/>
      <c r="G7" s="6" t="s">
        <v>2</v>
      </c>
      <c r="H7" s="6"/>
      <c r="I7" s="6"/>
      <c r="J7" s="6"/>
      <c r="K7" s="6"/>
    </row>
    <row r="8" spans="1:17" ht="15" customHeight="1" thickBot="1" x14ac:dyDescent="0.35"/>
    <row r="9" spans="1:17" ht="15" customHeight="1" thickBot="1" x14ac:dyDescent="0.35">
      <c r="A9" s="7"/>
      <c r="B9" s="8" t="s">
        <v>3</v>
      </c>
      <c r="C9" s="9" t="s">
        <v>4</v>
      </c>
      <c r="D9" s="10" t="s">
        <v>5</v>
      </c>
      <c r="E9" s="11" t="s">
        <v>6</v>
      </c>
      <c r="F9" s="12" t="s">
        <v>7</v>
      </c>
      <c r="G9" s="9" t="s">
        <v>8</v>
      </c>
      <c r="H9" s="13" t="s">
        <v>9</v>
      </c>
      <c r="I9" s="14"/>
      <c r="J9" s="15"/>
      <c r="K9" s="16" t="s">
        <v>10</v>
      </c>
      <c r="L9" s="9" t="s">
        <v>11</v>
      </c>
    </row>
    <row r="10" spans="1:17" ht="15" customHeight="1" thickBot="1" x14ac:dyDescent="0.35">
      <c r="A10" s="7"/>
      <c r="B10" s="17"/>
      <c r="C10" s="17"/>
      <c r="D10" s="18"/>
      <c r="E10" s="17"/>
      <c r="F10" s="19"/>
      <c r="G10" s="17"/>
      <c r="H10" s="20" t="s">
        <v>12</v>
      </c>
      <c r="I10" s="15"/>
      <c r="J10" s="21" t="s">
        <v>13</v>
      </c>
      <c r="K10" s="22"/>
      <c r="L10" s="17"/>
    </row>
    <row r="11" spans="1:17" ht="15" customHeight="1" thickBot="1" x14ac:dyDescent="0.35">
      <c r="A11" s="7"/>
      <c r="B11" s="17"/>
      <c r="C11" s="17"/>
      <c r="D11" s="18"/>
      <c r="E11" s="17"/>
      <c r="F11" s="23"/>
      <c r="G11" s="17"/>
      <c r="H11" s="24" t="s">
        <v>14</v>
      </c>
      <c r="I11" s="25" t="s">
        <v>15</v>
      </c>
      <c r="J11" s="17"/>
      <c r="K11" s="26"/>
      <c r="L11" s="17"/>
    </row>
    <row r="12" spans="1:17" ht="19.5" customHeight="1" x14ac:dyDescent="0.3">
      <c r="A12" s="27" t="e">
        <f>'[1]ALMEIRA LUIS'!A12</f>
        <v>#REF!</v>
      </c>
      <c r="B12" s="28">
        <v>45982</v>
      </c>
      <c r="C12" s="29"/>
      <c r="D12" s="29"/>
      <c r="E12" s="30">
        <f>IFERROR(IF(IF(G12="Base",(#REF!-C12)+(D12-#REF!)-1,(#REF!-C12)+(D12-#REF!))&gt;16,16,IF(G12="Base",(#REF!-C12)+(D12-#REF!)-1,(#REF!-C12)+(D12-#REF!))),0)</f>
        <v>0</v>
      </c>
      <c r="F12" s="31"/>
      <c r="G12" s="31"/>
      <c r="H12" s="31"/>
      <c r="I12" s="31"/>
      <c r="J12" s="31"/>
      <c r="K12" s="32"/>
      <c r="L12" s="33"/>
    </row>
    <row r="13" spans="1:17" ht="19.5" customHeight="1" x14ac:dyDescent="0.3">
      <c r="A13" s="27" t="e">
        <f>'[1]ALMEIRA LUIS'!A13</f>
        <v>#REF!</v>
      </c>
      <c r="B13" s="34">
        <f>+B12+1</f>
        <v>45983</v>
      </c>
      <c r="C13" s="35"/>
      <c r="D13" s="35"/>
      <c r="E13" s="36">
        <f>IFERROR(IF(IF(G13="Base",(#REF!-C13)+(D13-#REF!)-1,(#REF!-C13)+(D13-#REF!))&gt;16,16,IF(G13="Base",(#REF!-C13)+(D13-#REF!)-1,(#REF!-C13)+(D13-#REF!))),0)</f>
        <v>0</v>
      </c>
      <c r="F13" s="37"/>
      <c r="G13" s="37"/>
      <c r="H13" s="37"/>
      <c r="I13" s="37"/>
      <c r="J13" s="37"/>
      <c r="K13" s="38"/>
      <c r="L13" s="39"/>
    </row>
    <row r="14" spans="1:17" ht="19.5" customHeight="1" x14ac:dyDescent="0.3">
      <c r="A14" s="27" t="e">
        <f>'[1]ALMEIRA LUIS'!A14</f>
        <v>#REF!</v>
      </c>
      <c r="B14" s="34">
        <f t="shared" ref="B14:B41" si="0">+B13+1</f>
        <v>45984</v>
      </c>
      <c r="C14" s="35"/>
      <c r="D14" s="35"/>
      <c r="E14" s="36">
        <f>IFERROR(IF(IF(G14="Base",(#REF!-C14)+(D14-#REF!)-1,(#REF!-C14)+(D14-#REF!))&gt;16,16,IF(G14="Base",(#REF!-C14)+(D14-#REF!)-1,(#REF!-C14)+(D14-#REF!))),0)</f>
        <v>0</v>
      </c>
      <c r="F14" s="37"/>
      <c r="G14" s="37"/>
      <c r="H14" s="37"/>
      <c r="I14" s="37"/>
      <c r="J14" s="37"/>
      <c r="K14" s="38"/>
      <c r="L14" s="39"/>
    </row>
    <row r="15" spans="1:17" ht="19.5" customHeight="1" x14ac:dyDescent="0.3">
      <c r="A15" s="27" t="e">
        <f>'[1]ALMEIRA LUIS'!A15</f>
        <v>#REF!</v>
      </c>
      <c r="B15" s="34">
        <f t="shared" si="0"/>
        <v>45985</v>
      </c>
      <c r="C15" s="35"/>
      <c r="D15" s="35"/>
      <c r="E15" s="36">
        <f>IFERROR(IF(IF(G15="Base",(#REF!-C15)+(D15-#REF!)-1,(#REF!-C15)+(D15-#REF!))&gt;16,16,IF(G15="Base",(#REF!-C15)+(D15-#REF!)-1,(#REF!-C15)+(D15-#REF!))),0)</f>
        <v>0</v>
      </c>
      <c r="F15" s="37"/>
      <c r="G15" s="37"/>
      <c r="H15" s="37"/>
      <c r="I15" s="37"/>
      <c r="J15" s="37"/>
      <c r="K15" s="38"/>
      <c r="L15" s="39"/>
    </row>
    <row r="16" spans="1:17" ht="19.5" customHeight="1" x14ac:dyDescent="0.3">
      <c r="A16" s="27" t="e">
        <f>'[1]ALMEIRA LUIS'!A16</f>
        <v>#REF!</v>
      </c>
      <c r="B16" s="34">
        <f t="shared" si="0"/>
        <v>45986</v>
      </c>
      <c r="C16" s="35"/>
      <c r="D16" s="35"/>
      <c r="E16" s="36">
        <f>IFERROR(IF(IF(G16="Base",(#REF!-C16)+(D16-#REF!)-1,(#REF!-C16)+(D16-#REF!))&gt;16,16,IF(G16="Base",(#REF!-C16)+(D16-#REF!)-1,(#REF!-C16)+(D16-#REF!))),0)</f>
        <v>0</v>
      </c>
      <c r="F16" s="37"/>
      <c r="G16" s="37"/>
      <c r="H16" s="37"/>
      <c r="I16" s="37"/>
      <c r="J16" s="37"/>
      <c r="K16" s="38"/>
      <c r="L16" s="39"/>
    </row>
    <row r="17" spans="1:12" ht="19.5" customHeight="1" x14ac:dyDescent="0.3">
      <c r="A17" s="27" t="e">
        <f>'[1]ALMEIRA LUIS'!A17</f>
        <v>#REF!</v>
      </c>
      <c r="B17" s="34">
        <f t="shared" si="0"/>
        <v>45987</v>
      </c>
      <c r="C17" s="35"/>
      <c r="D17" s="35"/>
      <c r="E17" s="36">
        <f>IFERROR(IF(IF(G17="Base",(#REF!-C17)+(D17-#REF!)-1,(#REF!-C17)+(D17-#REF!))&gt;16,16,IF(G17="Base",(#REF!-C17)+(D17-#REF!)-1,(#REF!-C17)+(D17-#REF!))),0)</f>
        <v>0</v>
      </c>
      <c r="F17" s="37"/>
      <c r="G17" s="37"/>
      <c r="H17" s="37"/>
      <c r="I17" s="37"/>
      <c r="J17" s="37"/>
      <c r="K17" s="38"/>
      <c r="L17" s="39"/>
    </row>
    <row r="18" spans="1:12" ht="19.5" customHeight="1" x14ac:dyDescent="0.3">
      <c r="A18" s="27" t="e">
        <f>'[1]ALMEIRA LUIS'!A18</f>
        <v>#REF!</v>
      </c>
      <c r="B18" s="34">
        <f t="shared" si="0"/>
        <v>45988</v>
      </c>
      <c r="C18" s="35"/>
      <c r="D18" s="35"/>
      <c r="E18" s="36">
        <f>IFERROR(IF(IF(G18="Base",(#REF!-C18)+(D18-#REF!)-1,(#REF!-C18)+(D18-#REF!))&gt;16,16,IF(G18="Base",(#REF!-C18)+(D18-#REF!)-1,(#REF!-C18)+(D18-#REF!))),0)</f>
        <v>0</v>
      </c>
      <c r="F18" s="37"/>
      <c r="G18" s="37"/>
      <c r="H18" s="37"/>
      <c r="I18" s="37"/>
      <c r="J18" s="37"/>
      <c r="K18" s="38"/>
      <c r="L18" s="39"/>
    </row>
    <row r="19" spans="1:12" ht="19.5" customHeight="1" x14ac:dyDescent="0.3">
      <c r="A19" s="27" t="e">
        <f>'[1]ALMEIRA LUIS'!A19</f>
        <v>#REF!</v>
      </c>
      <c r="B19" s="34">
        <f t="shared" si="0"/>
        <v>45989</v>
      </c>
      <c r="C19" s="35"/>
      <c r="D19" s="35"/>
      <c r="E19" s="36">
        <f>IFERROR(IF(IF(G19="Base",(#REF!-C19)+(D19-#REF!)-1,(#REF!-C19)+(D19-#REF!))&gt;16,16,IF(G19="Base",(#REF!-C19)+(D19-#REF!)-1,(#REF!-C19)+(D19-#REF!))),0)</f>
        <v>0</v>
      </c>
      <c r="F19" s="37"/>
      <c r="G19" s="37"/>
      <c r="H19" s="37"/>
      <c r="I19" s="37"/>
      <c r="J19" s="37"/>
      <c r="K19" s="38"/>
      <c r="L19" s="39"/>
    </row>
    <row r="20" spans="1:12" ht="19.5" customHeight="1" x14ac:dyDescent="0.3">
      <c r="A20" s="27" t="e">
        <f>'[1]ALMEIRA LUIS'!A20</f>
        <v>#REF!</v>
      </c>
      <c r="B20" s="34">
        <f t="shared" si="0"/>
        <v>45990</v>
      </c>
      <c r="C20" s="35"/>
      <c r="D20" s="35"/>
      <c r="E20" s="36">
        <f>IFERROR(IF(IF(G20="Base",(#REF!-C20)+(D20-#REF!)-1,(#REF!-C20)+(D20-#REF!))&gt;16,16,IF(G20="Base",(#REF!-C20)+(D20-#REF!)-1,(#REF!-C20)+(D20-#REF!))),0)</f>
        <v>0</v>
      </c>
      <c r="F20" s="37"/>
      <c r="G20" s="37"/>
      <c r="H20" s="37"/>
      <c r="I20" s="37"/>
      <c r="J20" s="37"/>
      <c r="K20" s="38"/>
      <c r="L20" s="39"/>
    </row>
    <row r="21" spans="1:12" ht="19.5" customHeight="1" x14ac:dyDescent="0.3">
      <c r="A21" s="27" t="e">
        <f>'[1]ALMEIRA LUIS'!A21</f>
        <v>#REF!</v>
      </c>
      <c r="B21" s="34">
        <f t="shared" si="0"/>
        <v>45991</v>
      </c>
      <c r="C21" s="35"/>
      <c r="D21" s="35"/>
      <c r="E21" s="36">
        <f>IFERROR(IF(IF(G21="Base",(#REF!-C21)+(D21-#REF!)-1,(#REF!-C21)+(D21-#REF!))&gt;16,16,IF(G21="Base",(#REF!-C21)+(D21-#REF!)-1,(#REF!-C21)+(D21-#REF!))),0)</f>
        <v>0</v>
      </c>
      <c r="F21" s="37"/>
      <c r="G21" s="37"/>
      <c r="H21" s="37"/>
      <c r="I21" s="37"/>
      <c r="J21" s="37"/>
      <c r="K21" s="38"/>
      <c r="L21" s="39"/>
    </row>
    <row r="22" spans="1:12" ht="19.5" customHeight="1" x14ac:dyDescent="0.3">
      <c r="A22" s="27" t="str">
        <f>'[1]ALMEIRA LUIS'!A22</f>
        <v>x</v>
      </c>
      <c r="B22" s="34">
        <f t="shared" si="0"/>
        <v>45992</v>
      </c>
      <c r="C22" s="35"/>
      <c r="D22" s="35"/>
      <c r="E22" s="36">
        <f>IFERROR(IF(IF(G22="Base",(#REF!-C22)+(D22-#REF!)-1,(#REF!-C22)+(D22-#REF!))&gt;16,16,IF(G22="Base",(#REF!-C22)+(D22-#REF!)-1,(#REF!-C22)+(D22-#REF!))),0)</f>
        <v>0</v>
      </c>
      <c r="F22" s="37"/>
      <c r="G22" s="37"/>
      <c r="H22" s="37"/>
      <c r="I22" s="37"/>
      <c r="J22" s="37"/>
      <c r="K22" s="38"/>
      <c r="L22" s="39"/>
    </row>
    <row r="23" spans="1:12" ht="19.5" customHeight="1" x14ac:dyDescent="0.3">
      <c r="A23" s="27" t="e">
        <f>'[1]ALMEIRA LUIS'!A23</f>
        <v>#REF!</v>
      </c>
      <c r="B23" s="34">
        <f t="shared" si="0"/>
        <v>45993</v>
      </c>
      <c r="C23" s="35"/>
      <c r="D23" s="35"/>
      <c r="E23" s="36">
        <f>IFERROR(IF(IF(G23="Base",(#REF!-C23)+(D23-#REF!)-1,(#REF!-C23)+(D23-#REF!))&gt;16,16,IF(G23="Base",(#REF!-C23)+(D23-#REF!)-1,(#REF!-C23)+(D23-#REF!))),0)</f>
        <v>0</v>
      </c>
      <c r="F23" s="37"/>
      <c r="G23" s="37"/>
      <c r="H23" s="37"/>
      <c r="I23" s="37"/>
      <c r="J23" s="37"/>
      <c r="K23" s="38"/>
      <c r="L23" s="39"/>
    </row>
    <row r="24" spans="1:12" ht="19.5" customHeight="1" x14ac:dyDescent="0.3">
      <c r="A24" s="27" t="e">
        <f>'[1]ALMEIRA LUIS'!A24</f>
        <v>#REF!</v>
      </c>
      <c r="B24" s="34">
        <f t="shared" si="0"/>
        <v>45994</v>
      </c>
      <c r="C24" s="35"/>
      <c r="D24" s="35"/>
      <c r="E24" s="36">
        <f>IFERROR(IF(IF(G24="Base",(#REF!-C24)+(D24-#REF!)-1,(#REF!-C24)+(D24-#REF!))&gt;16,16,IF(G24="Base",(#REF!-C24)+(D24-#REF!)-1,(#REF!-C24)+(D24-#REF!))),0)</f>
        <v>0</v>
      </c>
      <c r="F24" s="37"/>
      <c r="G24" s="37"/>
      <c r="H24" s="37"/>
      <c r="I24" s="37"/>
      <c r="J24" s="37"/>
      <c r="K24" s="38"/>
      <c r="L24" s="39"/>
    </row>
    <row r="25" spans="1:12" ht="19.5" customHeight="1" x14ac:dyDescent="0.3">
      <c r="A25" s="27" t="e">
        <f>'[1]ALMEIRA LUIS'!A25</f>
        <v>#REF!</v>
      </c>
      <c r="B25" s="34">
        <f t="shared" si="0"/>
        <v>45995</v>
      </c>
      <c r="C25" s="35"/>
      <c r="D25" s="35"/>
      <c r="E25" s="36">
        <f>IFERROR(IF(IF(G25="Base",(#REF!-C25)+(D25-#REF!)-1,(#REF!-C25)+(D25-#REF!))&gt;16,16,IF(G25="Base",(#REF!-C25)+(D25-#REF!)-1,(#REF!-C25)+(D25-#REF!))),0)</f>
        <v>0</v>
      </c>
      <c r="F25" s="37"/>
      <c r="G25" s="37"/>
      <c r="H25" s="37"/>
      <c r="I25" s="37"/>
      <c r="J25" s="37"/>
      <c r="K25" s="38"/>
      <c r="L25" s="39"/>
    </row>
    <row r="26" spans="1:12" ht="19.5" customHeight="1" x14ac:dyDescent="0.3">
      <c r="A26" s="27" t="e">
        <f>'[1]ALMEIRA LUIS'!A26</f>
        <v>#REF!</v>
      </c>
      <c r="B26" s="34">
        <f t="shared" si="0"/>
        <v>45996</v>
      </c>
      <c r="C26" s="35"/>
      <c r="D26" s="35"/>
      <c r="E26" s="36">
        <f>IFERROR(IF(IF(G26="Base",(#REF!-C26)+(D26-#REF!)-1,(#REF!-C26)+(D26-#REF!))&gt;16,16,IF(G26="Base",(#REF!-C26)+(D26-#REF!)-1,(#REF!-C26)+(D26-#REF!))),0)</f>
        <v>0</v>
      </c>
      <c r="F26" s="37"/>
      <c r="G26" s="37"/>
      <c r="H26" s="37"/>
      <c r="I26" s="37"/>
      <c r="J26" s="37"/>
      <c r="K26" s="38"/>
      <c r="L26" s="39"/>
    </row>
    <row r="27" spans="1:12" ht="19.5" customHeight="1" x14ac:dyDescent="0.3">
      <c r="A27" s="27" t="e">
        <f>'[1]ALMEIRA LUIS'!A27</f>
        <v>#REF!</v>
      </c>
      <c r="B27" s="34">
        <f t="shared" si="0"/>
        <v>45997</v>
      </c>
      <c r="C27" s="35"/>
      <c r="D27" s="35"/>
      <c r="E27" s="36">
        <f>IFERROR(IF(IF(G27="Base",(#REF!-C27)+(D27-#REF!)-1,(#REF!-C27)+(D27-#REF!))&gt;16,16,IF(G27="Base",(#REF!-C27)+(D27-#REF!)-1,(#REF!-C27)+(D27-#REF!))),0)</f>
        <v>0</v>
      </c>
      <c r="F27" s="37"/>
      <c r="G27" s="37"/>
      <c r="H27" s="37"/>
      <c r="I27" s="37"/>
      <c r="J27" s="37"/>
      <c r="K27" s="38"/>
      <c r="L27" s="39"/>
    </row>
    <row r="28" spans="1:12" ht="19.5" customHeight="1" x14ac:dyDescent="0.3">
      <c r="A28" s="27" t="e">
        <f>'[1]ALMEIRA LUIS'!A28</f>
        <v>#REF!</v>
      </c>
      <c r="B28" s="34">
        <f t="shared" si="0"/>
        <v>45998</v>
      </c>
      <c r="C28" s="35"/>
      <c r="D28" s="35"/>
      <c r="E28" s="36">
        <f>IFERROR(IF(IF(G28="Base",(#REF!-C28)+(D28-#REF!)-1,(#REF!-C28)+(D28-#REF!))&gt;16,16,IF(G28="Base",(#REF!-C28)+(D28-#REF!)-1,(#REF!-C28)+(D28-#REF!))),0)</f>
        <v>0</v>
      </c>
      <c r="F28" s="37"/>
      <c r="G28" s="37"/>
      <c r="H28" s="37"/>
      <c r="I28" s="37"/>
      <c r="J28" s="37"/>
      <c r="K28" s="38"/>
      <c r="L28" s="39"/>
    </row>
    <row r="29" spans="1:12" ht="19.5" customHeight="1" x14ac:dyDescent="0.3">
      <c r="A29" s="27" t="e">
        <f>'[1]ALMEIRA LUIS'!A29</f>
        <v>#REF!</v>
      </c>
      <c r="B29" s="34">
        <f t="shared" si="0"/>
        <v>45999</v>
      </c>
      <c r="C29" s="35"/>
      <c r="D29" s="35"/>
      <c r="E29" s="36">
        <f>IFERROR(IF(IF(G29="Base",(#REF!-C29)+(D29-#REF!)-1,(#REF!-C29)+(D29-#REF!))&gt;16,16,IF(G29="Base",(#REF!-C29)+(D29-#REF!)-1,(#REF!-C29)+(D29-#REF!))),0)</f>
        <v>0</v>
      </c>
      <c r="F29" s="37"/>
      <c r="G29" s="37"/>
      <c r="H29" s="37"/>
      <c r="I29" s="37"/>
      <c r="J29" s="37"/>
      <c r="K29" s="38"/>
      <c r="L29" s="39"/>
    </row>
    <row r="30" spans="1:12" ht="19.5" customHeight="1" x14ac:dyDescent="0.3">
      <c r="A30" s="27" t="e">
        <f>'[1]ALMEIRA LUIS'!A30</f>
        <v>#REF!</v>
      </c>
      <c r="B30" s="34">
        <f t="shared" si="0"/>
        <v>46000</v>
      </c>
      <c r="C30" s="35"/>
      <c r="D30" s="35"/>
      <c r="E30" s="36">
        <f>IFERROR(IF(IF(G30="Base",(#REF!-C30)+(D30-#REF!)-1,(#REF!-C30)+(D30-#REF!))&gt;16,16,IF(G30="Base",(#REF!-C30)+(D30-#REF!)-1,(#REF!-C30)+(D30-#REF!))),0)</f>
        <v>0</v>
      </c>
      <c r="F30" s="37"/>
      <c r="G30" s="37"/>
      <c r="H30" s="37"/>
      <c r="I30" s="37"/>
      <c r="J30" s="37"/>
      <c r="K30" s="38"/>
      <c r="L30" s="39"/>
    </row>
    <row r="31" spans="1:12" ht="19.5" customHeight="1" x14ac:dyDescent="0.3">
      <c r="A31" s="27" t="e">
        <f>'[1]ALMEIRA LUIS'!A31</f>
        <v>#REF!</v>
      </c>
      <c r="B31" s="34">
        <f t="shared" si="0"/>
        <v>46001</v>
      </c>
      <c r="C31" s="35"/>
      <c r="D31" s="35"/>
      <c r="E31" s="36">
        <f>IFERROR(IF(IF(G31="Base",(#REF!-C31)+(D31-#REF!)-1,(#REF!-C31)+(D31-#REF!))&gt;16,16,IF(G31="Base",(#REF!-C31)+(D31-#REF!)-1,(#REF!-C31)+(D31-#REF!))),0)</f>
        <v>0</v>
      </c>
      <c r="F31" s="37"/>
      <c r="G31" s="37"/>
      <c r="H31" s="37"/>
      <c r="I31" s="37"/>
      <c r="J31" s="37"/>
      <c r="K31" s="38"/>
      <c r="L31" s="39"/>
    </row>
    <row r="32" spans="1:12" ht="19.5" customHeight="1" x14ac:dyDescent="0.3">
      <c r="A32" s="27" t="e">
        <f>'[1]ALMEIRA LUIS'!A32</f>
        <v>#REF!</v>
      </c>
      <c r="B32" s="34">
        <f t="shared" si="0"/>
        <v>46002</v>
      </c>
      <c r="C32" s="35"/>
      <c r="D32" s="35"/>
      <c r="E32" s="36">
        <f>IFERROR(IF(IF(G32="Base",(#REF!-C32)+(D32-#REF!)-1,(#REF!-C32)+(D32-#REF!))&gt;16,16,IF(G32="Base",(#REF!-C32)+(D32-#REF!)-1,(#REF!-C32)+(D32-#REF!))),0)</f>
        <v>0</v>
      </c>
      <c r="F32" s="37"/>
      <c r="G32" s="37"/>
      <c r="H32" s="37"/>
      <c r="I32" s="37"/>
      <c r="J32" s="37"/>
      <c r="K32" s="38"/>
      <c r="L32" s="40"/>
    </row>
    <row r="33" spans="1:12" ht="19.5" customHeight="1" x14ac:dyDescent="0.3">
      <c r="A33" s="27" t="e">
        <f>'[1]ALMEIRA LUIS'!A33</f>
        <v>#REF!</v>
      </c>
      <c r="B33" s="34">
        <f t="shared" si="0"/>
        <v>46003</v>
      </c>
      <c r="C33" s="35"/>
      <c r="D33" s="35"/>
      <c r="E33" s="36">
        <f>IFERROR(IF(IF(G33="Base",(#REF!-C33)+(D33-#REF!)-1,(#REF!-C33)+(D33-#REF!))&gt;16,16,IF(G33="Base",(#REF!-C33)+(D33-#REF!)-1,(#REF!-C33)+(D33-#REF!))),0)</f>
        <v>0</v>
      </c>
      <c r="F33" s="37"/>
      <c r="G33" s="37"/>
      <c r="H33" s="37"/>
      <c r="I33" s="37"/>
      <c r="J33" s="37"/>
      <c r="K33" s="38"/>
      <c r="L33" s="40"/>
    </row>
    <row r="34" spans="1:12" ht="19.5" customHeight="1" x14ac:dyDescent="0.3">
      <c r="A34" s="27" t="e">
        <f>'[1]ALMEIRA LUIS'!A34</f>
        <v>#REF!</v>
      </c>
      <c r="B34" s="34">
        <f t="shared" si="0"/>
        <v>46004</v>
      </c>
      <c r="C34" s="35"/>
      <c r="D34" s="35"/>
      <c r="E34" s="36">
        <f>IFERROR(IF(IF(G34="Base",(#REF!-C34)+(D34-#REF!)-1,(#REF!-C34)+(D34-#REF!))&gt;16,16,IF(G34="Base",(#REF!-C34)+(D34-#REF!)-1,(#REF!-C34)+(D34-#REF!))),0)</f>
        <v>0</v>
      </c>
      <c r="F34" s="37"/>
      <c r="G34" s="37"/>
      <c r="H34" s="37"/>
      <c r="I34" s="37"/>
      <c r="J34" s="37"/>
      <c r="K34" s="38"/>
      <c r="L34" s="40"/>
    </row>
    <row r="35" spans="1:12" ht="19.5" customHeight="1" x14ac:dyDescent="0.3">
      <c r="A35" s="27" t="e">
        <f>'[1]ALMEIRA LUIS'!A35</f>
        <v>#REF!</v>
      </c>
      <c r="B35" s="34">
        <f t="shared" si="0"/>
        <v>46005</v>
      </c>
      <c r="C35" s="35"/>
      <c r="D35" s="35"/>
      <c r="E35" s="36">
        <f>IFERROR(IF(IF(G35="Base",(#REF!-C35)+(D35-#REF!)-1,(#REF!-C35)+(D35-#REF!))&gt;16,16,IF(G35="Base",(#REF!-C35)+(D35-#REF!)-1,(#REF!-C35)+(D35-#REF!))),0)</f>
        <v>0</v>
      </c>
      <c r="F35" s="37"/>
      <c r="G35" s="37"/>
      <c r="H35" s="37"/>
      <c r="I35" s="37"/>
      <c r="J35" s="37"/>
      <c r="K35" s="38"/>
      <c r="L35" s="40"/>
    </row>
    <row r="36" spans="1:12" ht="19.5" customHeight="1" x14ac:dyDescent="0.3">
      <c r="A36" s="27" t="e">
        <f>'[1]ALMEIRA LUIS'!A36</f>
        <v>#REF!</v>
      </c>
      <c r="B36" s="34">
        <f t="shared" si="0"/>
        <v>46006</v>
      </c>
      <c r="C36" s="35"/>
      <c r="D36" s="35"/>
      <c r="E36" s="36">
        <f>IFERROR(IF(IF(G36="Base",(#REF!-C36)+(D36-#REF!)-1,(#REF!-C36)+(D36-#REF!))&gt;16,16,IF(G36="Base",(#REF!-C36)+(D36-#REF!)-1,(#REF!-C36)+(D36-#REF!))),0)</f>
        <v>0</v>
      </c>
      <c r="F36" s="37"/>
      <c r="G36" s="37"/>
      <c r="H36" s="37"/>
      <c r="I36" s="37"/>
      <c r="J36" s="37"/>
      <c r="K36" s="38"/>
      <c r="L36" s="40"/>
    </row>
    <row r="37" spans="1:12" ht="19.5" customHeight="1" x14ac:dyDescent="0.3">
      <c r="A37" s="27" t="e">
        <f>'[1]ALMEIRA LUIS'!A37</f>
        <v>#REF!</v>
      </c>
      <c r="B37" s="34">
        <f t="shared" si="0"/>
        <v>46007</v>
      </c>
      <c r="C37" s="35"/>
      <c r="D37" s="35"/>
      <c r="E37" s="36">
        <f>IFERROR(IF(IF(G37="Base",(#REF!-C37)+(D37-#REF!)-1,(#REF!-C37)+(D37-#REF!))&gt;16,16,IF(G37="Base",(#REF!-C37)+(D37-#REF!)-1,(#REF!-C37)+(D37-#REF!))),0)</f>
        <v>0</v>
      </c>
      <c r="F37" s="37"/>
      <c r="G37" s="37"/>
      <c r="H37" s="37"/>
      <c r="I37" s="37"/>
      <c r="J37" s="37"/>
      <c r="K37" s="38"/>
      <c r="L37" s="40"/>
    </row>
    <row r="38" spans="1:12" ht="19.5" customHeight="1" x14ac:dyDescent="0.3">
      <c r="A38" s="27" t="e">
        <f>'[1]ALMEIRA LUIS'!A38</f>
        <v>#REF!</v>
      </c>
      <c r="B38" s="34">
        <f t="shared" si="0"/>
        <v>46008</v>
      </c>
      <c r="C38" s="35"/>
      <c r="D38" s="35"/>
      <c r="E38" s="36">
        <f>IFERROR(IF(IF(G38="Base",(#REF!-C38)+(D38-#REF!)-1,(#REF!-C38)+(D38-#REF!))&gt;16,16,IF(G38="Base",(#REF!-C38)+(D38-#REF!)-1,(#REF!-C38)+(D38-#REF!))),0)</f>
        <v>0</v>
      </c>
      <c r="F38" s="37"/>
      <c r="G38" s="37"/>
      <c r="H38" s="37"/>
      <c r="I38" s="37"/>
      <c r="J38" s="37"/>
      <c r="K38" s="38"/>
      <c r="L38" s="40"/>
    </row>
    <row r="39" spans="1:12" ht="19.5" customHeight="1" x14ac:dyDescent="0.3">
      <c r="A39" s="27" t="e">
        <f>'[1]ALMEIRA LUIS'!A39</f>
        <v>#REF!</v>
      </c>
      <c r="B39" s="34">
        <f t="shared" si="0"/>
        <v>46009</v>
      </c>
      <c r="C39" s="35"/>
      <c r="D39" s="35"/>
      <c r="E39" s="36">
        <f>IFERROR(IF(IF(G39="Base",(#REF!-C39)+(D39-#REF!)-1,(#REF!-C39)+(D39-#REF!))&gt;16,16,IF(G39="Base",(#REF!-C39)+(D39-#REF!)-1,(#REF!-C39)+(D39-#REF!))),0)</f>
        <v>0</v>
      </c>
      <c r="F39" s="37"/>
      <c r="G39" s="37"/>
      <c r="H39" s="37"/>
      <c r="I39" s="37"/>
      <c r="J39" s="37"/>
      <c r="K39" s="38"/>
      <c r="L39" s="40"/>
    </row>
    <row r="40" spans="1:12" ht="19.5" customHeight="1" x14ac:dyDescent="0.3">
      <c r="A40" s="27" t="e">
        <f>'[1]ALMEIRA LUIS'!A40</f>
        <v>#REF!</v>
      </c>
      <c r="B40" s="34">
        <f t="shared" si="0"/>
        <v>46010</v>
      </c>
      <c r="C40" s="35"/>
      <c r="D40" s="35"/>
      <c r="E40" s="36">
        <f>IFERROR(IF(IF(G40="Base",(#REF!-C40)+(D40-#REF!)-1,(#REF!-C40)+(D40-#REF!))&gt;16,16,IF(G40="Base",(#REF!-C40)+(D40-#REF!)-1,(#REF!-C40)+(D40-#REF!))),0)</f>
        <v>0</v>
      </c>
      <c r="F40" s="37"/>
      <c r="G40" s="37"/>
      <c r="H40" s="37"/>
      <c r="I40" s="37"/>
      <c r="J40" s="37"/>
      <c r="K40" s="38"/>
      <c r="L40" s="40"/>
    </row>
    <row r="41" spans="1:12" ht="19.5" customHeight="1" x14ac:dyDescent="0.3">
      <c r="A41" s="27" t="e">
        <f>'[1]ALMEIRA LUIS'!A41</f>
        <v>#REF!</v>
      </c>
      <c r="B41" s="34">
        <f t="shared" si="0"/>
        <v>46011</v>
      </c>
      <c r="C41" s="35"/>
      <c r="D41" s="35"/>
      <c r="E41" s="36">
        <f>IFERROR(IF(IF(G41="Base",(#REF!-C41)+(D41-#REF!)-1,(#REF!-C41)+(D41-#REF!))&gt;16,16,IF(G41="Base",(#REF!-C41)+(D41-#REF!)-1,(#REF!-C41)+(D41-#REF!))),0)</f>
        <v>0</v>
      </c>
      <c r="F41" s="37"/>
      <c r="G41" s="37"/>
      <c r="H41" s="37"/>
      <c r="I41" s="37"/>
      <c r="J41" s="37"/>
      <c r="K41" s="38"/>
      <c r="L41" s="40"/>
    </row>
    <row r="42" spans="1:12" ht="19.5" customHeight="1" x14ac:dyDescent="0.3">
      <c r="B42" s="41"/>
      <c r="C42" s="42"/>
      <c r="D42" s="43"/>
      <c r="E42" s="44"/>
      <c r="F42" s="44"/>
      <c r="G42" s="44"/>
      <c r="H42" s="44"/>
      <c r="I42" s="44"/>
      <c r="J42" s="44"/>
      <c r="K42" s="44"/>
      <c r="L42" s="44"/>
    </row>
    <row r="43" spans="1:12" ht="19.5" customHeight="1" x14ac:dyDescent="0.3">
      <c r="B43" s="41"/>
      <c r="C43" s="42"/>
      <c r="D43" s="43"/>
      <c r="E43" s="44"/>
      <c r="F43" s="44"/>
      <c r="G43" s="44"/>
      <c r="H43" s="44"/>
      <c r="I43" s="44"/>
      <c r="J43" s="44"/>
      <c r="K43" s="44"/>
      <c r="L43" s="44"/>
    </row>
    <row r="44" spans="1:12" ht="15" customHeight="1" x14ac:dyDescent="0.3"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</row>
    <row r="45" spans="1:12" ht="15" customHeight="1" x14ac:dyDescent="0.3">
      <c r="B45" s="54" t="s">
        <v>16</v>
      </c>
      <c r="C45" s="54"/>
      <c r="D45" s="54"/>
      <c r="G45" s="46" t="s">
        <v>17</v>
      </c>
      <c r="H45" s="47"/>
      <c r="I45" s="47"/>
    </row>
    <row r="46" spans="1:12" ht="15" customHeight="1" x14ac:dyDescent="0.25">
      <c r="J46" s="4"/>
      <c r="K46" s="4"/>
    </row>
    <row r="47" spans="1:12" ht="15" customHeight="1" x14ac:dyDescent="0.25">
      <c r="I47" s="4"/>
    </row>
    <row r="48" spans="1:12" ht="15" customHeight="1" x14ac:dyDescent="0.25">
      <c r="I48" s="4"/>
    </row>
    <row r="49" spans="3:9" ht="15" customHeight="1" x14ac:dyDescent="0.25">
      <c r="I49" s="4"/>
    </row>
    <row r="50" spans="3:9" ht="15" customHeight="1" x14ac:dyDescent="0.25">
      <c r="I50" s="4"/>
    </row>
    <row r="51" spans="3:9" ht="15" customHeight="1" x14ac:dyDescent="0.25">
      <c r="I51" s="4"/>
    </row>
    <row r="54" spans="3:9" ht="15" customHeight="1" x14ac:dyDescent="0.25">
      <c r="C54" s="53"/>
    </row>
  </sheetData>
  <mergeCells count="13">
    <mergeCell ref="B45:D45"/>
    <mergeCell ref="H9:J9"/>
    <mergeCell ref="K9:K11"/>
    <mergeCell ref="L9:L11"/>
    <mergeCell ref="H10:I10"/>
    <mergeCell ref="J10:J11"/>
    <mergeCell ref="G45:I45"/>
    <mergeCell ref="C5:D5"/>
    <mergeCell ref="B9:B11"/>
    <mergeCell ref="C9:C11"/>
    <mergeCell ref="D9:D11"/>
    <mergeCell ref="E9:E11"/>
    <mergeCell ref="G9:G11"/>
  </mergeCells>
  <conditionalFormatting sqref="B12:B41">
    <cfRule type="expression" dxfId="1" priority="1">
      <formula>A12="x"</formula>
    </cfRule>
    <cfRule type="expression" dxfId="0" priority="2">
      <formula>OR(WEEKDAY(B12)=1,WEEKDAY(B12)=7)</formula>
    </cfRule>
  </conditionalFormatting>
  <dataValidations count="1">
    <dataValidation type="list" allowBlank="1" showInputMessage="1" showErrorMessage="1" sqref="G12:G41" xr:uid="{3EDF2571-8BBC-4935-931E-3F10901D8714}">
      <formula1>Lugar_de_Trabajo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Vazquez</dc:creator>
  <cp:lastModifiedBy>Nicolas Vazquez</cp:lastModifiedBy>
  <dcterms:created xsi:type="dcterms:W3CDTF">2026-03-23T22:06:03Z</dcterms:created>
  <dcterms:modified xsi:type="dcterms:W3CDTF">2026-03-23T22:07:41Z</dcterms:modified>
</cp:coreProperties>
</file>